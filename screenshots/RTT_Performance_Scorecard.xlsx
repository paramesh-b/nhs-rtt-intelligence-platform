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me\Downloads\NHS_RTT_Project\excel\"/>
    </mc:Choice>
  </mc:AlternateContent>
  <xr:revisionPtr revIDLastSave="0" documentId="13_ncr:1_{C9FFA206-FDC3-4995-8244-947C558DDE09}" xr6:coauthVersionLast="47" xr6:coauthVersionMax="47" xr10:uidLastSave="{00000000-0000-0000-0000-000000000000}"/>
  <bookViews>
    <workbookView xWindow="-108" yWindow="-108" windowWidth="23256" windowHeight="12456" activeTab="3" xr2:uid="{0021DDA7-93A7-41DB-88C4-9AAB2B114001}"/>
  </bookViews>
  <sheets>
    <sheet name="RAG Scorecard" sheetId="1" r:id="rId1"/>
    <sheet name="Trend Analysis" sheetId="3" r:id="rId2"/>
    <sheet name="Month on Month" sheetId="7" r:id="rId3"/>
    <sheet name="Executive Summary" sheetId="9" r:id="rId4"/>
  </sheets>
  <definedNames>
    <definedName name="ExternalData_1" localSheetId="2" hidden="1">'Month on Month'!$A$4:$H$20</definedName>
    <definedName name="_xlnm.Print_Area" localSheetId="0">'RAG Scorecard'!$A$1:$M$42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7" l="1"/>
  <c r="K8" i="7"/>
  <c r="K7" i="7"/>
  <c r="K6" i="7"/>
  <c r="K5" i="7"/>
  <c r="M7" i="3"/>
  <c r="M6" i="3"/>
  <c r="M8" i="3"/>
  <c r="M9" i="3"/>
  <c r="M10" i="3"/>
  <c r="M11" i="3"/>
  <c r="M12" i="3"/>
  <c r="M13" i="3"/>
  <c r="M14" i="3"/>
  <c r="M5" i="3"/>
  <c r="L10" i="1"/>
  <c r="L9" i="1"/>
  <c r="L8" i="1"/>
  <c r="L7" i="1"/>
  <c r="L6" i="1"/>
  <c r="L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3DB1F0-FCA5-44D2-8C0D-578D0B1585DA}" keepAlive="1" name="Query - month on month" description="Connection to the 'month on month' query in the workbook." type="5" refreshedVersion="0" background="1">
    <dbPr connection="Provider=Microsoft.Mashup.OleDb.1;Data Source=$Workbook$;Location=&quot;month on month&quot;;Extended Properties=&quot;&quot;" command="SELECT * FROM [month on month]"/>
  </connection>
  <connection id="2" xr16:uid="{DDFCEB4F-CE1F-41F8-891C-19C5F6475B88}" keepAlive="1" name="Query - month on month (2)" description="Connection to the 'month on month (2)' query in the workbook." type="5" refreshedVersion="8" background="1" saveData="1">
    <dbPr connection="Provider=Microsoft.Mashup.OleDb.1;Data Source=$Workbook$;Location=&quot;month on month (2)&quot;;Extended Properties=&quot;&quot;" command="SELECT * FROM [month on month (2)]"/>
  </connection>
  <connection id="3" xr16:uid="{E32F9DE7-837E-4811-981A-FE0C4BF05350}" keepAlive="1" name="Query - scorecard_data" description="Connection to the 'scorecard_data' query in the workbook." type="5" refreshedVersion="0" background="1">
    <dbPr connection="Provider=Microsoft.Mashup.OleDb.1;Data Source=$Workbook$;Location=scorecard_data;Extended Properties=&quot;&quot;" command="SELECT * FROM [scorecard_data]"/>
  </connection>
  <connection id="4" xr16:uid="{C132C99A-697F-41E8-ABE1-805C900FEE04}" keepAlive="1" name="Query - trend_data" description="Connection to the 'trend_data' query in the workbook." type="5" refreshedVersion="0" background="1">
    <dbPr connection="Provider=Microsoft.Mashup.OleDb.1;Data Source=$Workbook$;Location=trend_data;Extended Properties=&quot;&quot;" command="SELECT * FROM [trend_data]"/>
  </connection>
</connections>
</file>

<file path=xl/sharedStrings.xml><?xml version="1.0" encoding="utf-8"?>
<sst xmlns="http://schemas.openxmlformats.org/spreadsheetml/2006/main" count="141" uniqueCount="102">
  <si>
    <t>Gloucestershire Hospitals NHS Foundation Trust — RTT Performance Scorecard</t>
  </si>
  <si>
    <t>Data Period: January 2026 | Source: NHS England RTT Waiting Times</t>
  </si>
  <si>
    <t>Specialty</t>
  </si>
  <si>
    <t>Waiting List</t>
  </si>
  <si>
    <t>Within 18 Weeks</t>
  </si>
  <si>
    <t>%Within 18 Weeks</t>
  </si>
  <si>
    <t>Gap to 92% Target</t>
  </si>
  <si>
    <t>Median Wait(Weeks)</t>
  </si>
  <si>
    <t>52+ Week Waiters</t>
  </si>
  <si>
    <t>%Change Since Apr 2025</t>
  </si>
  <si>
    <t>RAG Status</t>
  </si>
  <si>
    <t>Ear Nose and Throat</t>
  </si>
  <si>
    <t>Dermatology</t>
  </si>
  <si>
    <t>Neurology</t>
  </si>
  <si>
    <t>Rheumatology</t>
  </si>
  <si>
    <t>Gynaecology</t>
  </si>
  <si>
    <t>Oral Surgery</t>
  </si>
  <si>
    <t>Trauma and Orthopaedic</t>
  </si>
  <si>
    <t>Paediatrics</t>
  </si>
  <si>
    <t>Urology</t>
  </si>
  <si>
    <t>Cardiology</t>
  </si>
  <si>
    <t>Other Surgical</t>
  </si>
  <si>
    <t>Ophthalmology</t>
  </si>
  <si>
    <t>Other Medical</t>
  </si>
  <si>
    <t>Respiratory</t>
  </si>
  <si>
    <t>Elderly Medicine</t>
  </si>
  <si>
    <t>Gastroenterology</t>
  </si>
  <si>
    <t>General Internal Medicine</t>
  </si>
  <si>
    <t>Other Services</t>
  </si>
  <si>
    <t>Cardiothoracic Surgery</t>
  </si>
  <si>
    <t>SCORECARD SUMMARY</t>
  </si>
  <si>
    <t>Total Specialities</t>
  </si>
  <si>
    <t>RED Critical</t>
  </si>
  <si>
    <t>AMBER at Risk</t>
  </si>
  <si>
    <t>GREEN Meeting Target</t>
  </si>
  <si>
    <t>Total Waiting List</t>
  </si>
  <si>
    <t>Average Gap to 92% Target</t>
  </si>
  <si>
    <t>Gloucestershire Hospitals — Specialty Performance Trend April 2025 to January 2026</t>
  </si>
  <si>
    <t>Source: NHS England RTT Waiting Times | Target: 92% within 18 weeks</t>
  </si>
  <si>
    <t>Trend</t>
  </si>
  <si>
    <t>Direction</t>
  </si>
  <si>
    <t>ENT</t>
  </si>
  <si>
    <t>Overall Trust</t>
  </si>
  <si>
    <t>Gloucestershire Hospitals — Month on Month Performance Change</t>
  </si>
  <si>
    <t>Comparing December 2025 vs January 2026 | Source: NHS England RTT Waiting Times</t>
  </si>
  <si>
    <t>Dec 2025 Waiting List</t>
  </si>
  <si>
    <t>Jan 2026 Waiting List</t>
  </si>
  <si>
    <t>Change in List</t>
  </si>
  <si>
    <t>Dec 2025 %</t>
  </si>
  <si>
    <t>Jan 2026 %</t>
  </si>
  <si>
    <t>Change in %</t>
  </si>
  <si>
    <t>Status</t>
  </si>
  <si>
    <t>Worse</t>
  </si>
  <si>
    <t>Better</t>
  </si>
  <si>
    <t>MONTHLY SUMMARY</t>
  </si>
  <si>
    <t>Specialties Worse</t>
  </si>
  <si>
    <t>Specialties Better</t>
  </si>
  <si>
    <t>Waiting List Change</t>
  </si>
  <si>
    <t>Worst Performing</t>
  </si>
  <si>
    <t>Most Improved</t>
  </si>
  <si>
    <t>GLOUCESTERSHIRE HOSPITALS NHS FOUNDATION TRUST</t>
  </si>
  <si>
    <t>RTT PERFORMANCE EXECUTIVE SUMMARY</t>
  </si>
  <si>
    <t>Reporting Period: January 2026 | Prepared by: Paramesh Kumar Bukya | Source: NHS England RTT Waiting Times</t>
  </si>
  <si>
    <t>HEADLINE POSITION</t>
  </si>
  <si>
    <t xml:space="preserve">Gloucestershire Hospitals has 62,862 patients on incomplete RTT pathways as of January 2026. </t>
  </si>
  <si>
    <t xml:space="preserve">Overall 18-week compliance stands at 68.5% against a national target of 92% — a gap of 23.5 </t>
  </si>
  <si>
    <t>percentage points. The trust ranks 11th out of 13 acute trusts in the South West region.</t>
  </si>
  <si>
    <t>KEY FINDINGS</t>
  </si>
  <si>
    <t>1. CRITICAL SPECIALTIES — IMMEDIATE ACTION REQUIRED</t>
  </si>
  <si>
    <t>Four specialties are critically below the 92% target with compliance below 60%:</t>
  </si>
  <si>
    <t>- Ear Nose and Throat: 5,184 patients waiting, 54.0% compliance, median wait 16.5 weeks</t>
  </si>
  <si>
    <t>- Trauma and Orthopaedic: 8,999 patients waiting, 55.1% compliance, median wait 15.8 weeks</t>
  </si>
  <si>
    <t>- Dermatology: 4,331 patients waiting, 56.1% compliance, median wait 15.8 weeks</t>
  </si>
  <si>
    <t>- Neurology: 2,385 patients waiting, 57.3% compliance, median wait 14.4 weeks</t>
  </si>
  <si>
    <t>2. DETERIORATING SPECIALTIES — MONITORING REQUIRED</t>
  </si>
  <si>
    <t>Six specialties showed declining compliance over the 9-month analysis period:</t>
  </si>
  <si>
    <t>- Gynaecology showed the steepest decline — from 71.3% in April 2025 to 62.7% in January 2026</t>
  </si>
  <si>
    <t>- Rheumatology dropped 5.1 percentage points — now approaching critical threshold</t>
  </si>
  <si>
    <t>- Neurology has declined consistently for 9 consecutive months</t>
  </si>
  <si>
    <t>3. POSITIVE PERFORMANCE</t>
  </si>
  <si>
    <t>- Ophthalmology improved 8.8 percentage points — the strongest recovery in the trust</t>
  </si>
  <si>
    <t>- 52-week waiters reduced by 77% — from 93 in April 2025 to 21 in January 2026</t>
  </si>
  <si>
    <t>4. REGIONAL CONTEXT</t>
  </si>
  <si>
    <t>- Gloucestershire ranks 11th of 13 South West acute trusts on 18-week compliance</t>
  </si>
  <si>
    <t>- However the trust has the lowest 52-week waiter count in the entire South West region</t>
  </si>
  <si>
    <t>- Regional peers face similar challenges — Great Western Hospitals leads the region at only 58%</t>
  </si>
  <si>
    <t>5. NATIONAL CONTEXT</t>
  </si>
  <si>
    <t>- Trauma and Orthopaedics is the largest specialty waiting list nationally at 6.9 million patients</t>
  </si>
  <si>
    <t>- National compliance for T&amp;O is 55.6% — Gloucestershire at 55.1% mirrors the national picture</t>
  </si>
  <si>
    <t>- ENT is the worst performing specialty nationally at 52.5% — Gloucestershire at 54.0%</t>
  </si>
  <si>
    <t>RECOMMENDATIONS</t>
  </si>
  <si>
    <t>1. Prioritise theatre capacity for Trauma and Orthopaedics and ENT — largest lists, worst compliance</t>
  </si>
  <si>
    <t>2. Initiate urgent review of Gynaecology pathway — steepest decline over analysis period</t>
  </si>
  <si>
    <t>3. Investigate Ophthalmology improvement model — replicate across other deteriorating specialties</t>
  </si>
  <si>
    <t>4. Maintain long-waiter programme — 52-week reduction from 93 to 21 is a significant achievement</t>
  </si>
  <si>
    <t>5. Monitor Rheumatology closely — at current rate of decline will breach 60% threshold within 3 months</t>
  </si>
  <si>
    <t>CONCLUSION</t>
  </si>
  <si>
    <t xml:space="preserve">The trust faces a significant elective recovery challenge across surgical and medical specialties. </t>
  </si>
  <si>
    <t xml:space="preserve">The 52-week waiter success demonstrates capacity for improvement when interventions are targeted. </t>
  </si>
  <si>
    <t xml:space="preserve">Priority focus should be directed toward the four critical specialties and the rapidly deteriorating </t>
  </si>
  <si>
    <t>Gynaecology pathway to prevent further compliance decline before the next reporting period.</t>
  </si>
  <si>
    <t>- This demonstrates that targeted intervention programmes deliver measurable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</si>
</sst>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164" fontId="0" fillId="3" borderId="1" xfId="0" applyNumberFormat="1" applyFill="1" applyBorder="1"/>
    <xf numFmtId="164" fontId="0" fillId="0" borderId="1" xfId="0" applyNumberFormat="1" applyBorder="1"/>
    <xf numFmtId="164" fontId="0" fillId="3" borderId="2" xfId="0" applyNumberFormat="1" applyFill="1" applyBorder="1"/>
    <xf numFmtId="164" fontId="0" fillId="0" borderId="2" xfId="0" applyNumberFormat="1" applyBorder="1"/>
    <xf numFmtId="1" fontId="1" fillId="2" borderId="0" xfId="0" applyNumberFormat="1" applyFont="1" applyFill="1"/>
    <xf numFmtId="0" fontId="0" fillId="3" borderId="3" xfId="0" applyFill="1" applyBorder="1"/>
    <xf numFmtId="1" fontId="0" fillId="3" borderId="3" xfId="0" applyNumberFormat="1" applyFill="1" applyBorder="1"/>
    <xf numFmtId="164" fontId="0" fillId="3" borderId="3" xfId="0" applyNumberFormat="1" applyFill="1" applyBorder="1"/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0" xfId="0" applyNumberFormat="1"/>
    <xf numFmtId="164" fontId="0" fillId="0" borderId="0" xfId="0" applyNumberFormat="1"/>
    <xf numFmtId="17" fontId="1" fillId="2" borderId="0" xfId="0" applyNumberFormat="1" applyFont="1" applyFill="1"/>
    <xf numFmtId="0" fontId="0" fillId="0" borderId="8" xfId="0" applyBorder="1"/>
    <xf numFmtId="1" fontId="0" fillId="0" borderId="4" xfId="0" applyNumberFormat="1" applyBorder="1"/>
    <xf numFmtId="164" fontId="0" fillId="0" borderId="4" xfId="0" applyNumberFormat="1" applyBorder="1"/>
    <xf numFmtId="0" fontId="0" fillId="0" borderId="9" xfId="0" applyBorder="1"/>
    <xf numFmtId="0" fontId="0" fillId="0" borderId="10" xfId="0" applyBorder="1"/>
    <xf numFmtId="1" fontId="0" fillId="0" borderId="11" xfId="0" applyNumberFormat="1" applyBorder="1"/>
    <xf numFmtId="164" fontId="0" fillId="0" borderId="11" xfId="0" applyNumberFormat="1" applyBorder="1"/>
    <xf numFmtId="0" fontId="0" fillId="0" borderId="12" xfId="0" applyBorder="1"/>
    <xf numFmtId="0" fontId="1" fillId="2" borderId="5" xfId="0" applyFont="1" applyFill="1" applyBorder="1"/>
    <xf numFmtId="0" fontId="1" fillId="2" borderId="6" xfId="0" applyFont="1" applyFill="1" applyBorder="1"/>
    <xf numFmtId="164" fontId="1" fillId="2" borderId="6" xfId="0" applyNumberFormat="1" applyFont="1" applyFill="1" applyBorder="1"/>
    <xf numFmtId="0" fontId="1" fillId="2" borderId="7" xfId="0" applyFont="1" applyFill="1" applyBorder="1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23"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5D5D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Gloucestershire Hospitals — % Within 18 Weeks by Specialty</a:t>
            </a:r>
          </a:p>
        </c:rich>
      </c:tx>
      <c:layout>
        <c:manualLayout>
          <c:xMode val="edge"/>
          <c:yMode val="edge"/>
          <c:x val="0.15883148952175372"/>
          <c:y val="2.1321953076476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'RAG Scorecard'!$A$5:$A$23</c:f>
              <c:strCache>
                <c:ptCount val="19"/>
                <c:pt idx="0">
                  <c:v>Ear Nose and Throat</c:v>
                </c:pt>
                <c:pt idx="1">
                  <c:v>Trauma and Orthopaedic</c:v>
                </c:pt>
                <c:pt idx="2">
                  <c:v>Dermatology</c:v>
                </c:pt>
                <c:pt idx="3">
                  <c:v>Neurology</c:v>
                </c:pt>
                <c:pt idx="4">
                  <c:v>Rheumatology</c:v>
                </c:pt>
                <c:pt idx="5">
                  <c:v>Gynaecology</c:v>
                </c:pt>
                <c:pt idx="6">
                  <c:v>Oral Surgery</c:v>
                </c:pt>
                <c:pt idx="7">
                  <c:v>Paediatrics</c:v>
                </c:pt>
                <c:pt idx="8">
                  <c:v>Urology</c:v>
                </c:pt>
                <c:pt idx="9">
                  <c:v>Cardiology</c:v>
                </c:pt>
                <c:pt idx="10">
                  <c:v>Other Surgical</c:v>
                </c:pt>
                <c:pt idx="11">
                  <c:v>Ophthalmology</c:v>
                </c:pt>
                <c:pt idx="12">
                  <c:v>Other Medical</c:v>
                </c:pt>
                <c:pt idx="13">
                  <c:v>Respiratory</c:v>
                </c:pt>
                <c:pt idx="14">
                  <c:v>Elderly Medicine</c:v>
                </c:pt>
                <c:pt idx="15">
                  <c:v>Gastroenterology</c:v>
                </c:pt>
                <c:pt idx="16">
                  <c:v>General Internal Medicine</c:v>
                </c:pt>
                <c:pt idx="17">
                  <c:v>Other Services</c:v>
                </c:pt>
                <c:pt idx="18">
                  <c:v>Cardiothoracic Surgery</c:v>
                </c:pt>
              </c:strCache>
            </c:strRef>
          </c:cat>
          <c:val>
            <c:numRef>
              <c:f>'RAG Scorecard'!$D$5:$D$23</c:f>
              <c:numCache>
                <c:formatCode>0.0%</c:formatCode>
                <c:ptCount val="19"/>
                <c:pt idx="0">
                  <c:v>0.54</c:v>
                </c:pt>
                <c:pt idx="1">
                  <c:v>0.55100000000000005</c:v>
                </c:pt>
                <c:pt idx="2">
                  <c:v>0.56100000000000005</c:v>
                </c:pt>
                <c:pt idx="3">
                  <c:v>0.57299999999999995</c:v>
                </c:pt>
                <c:pt idx="4">
                  <c:v>0.60299999999999998</c:v>
                </c:pt>
                <c:pt idx="5">
                  <c:v>0.627</c:v>
                </c:pt>
                <c:pt idx="6">
                  <c:v>0.629</c:v>
                </c:pt>
                <c:pt idx="7">
                  <c:v>0.66</c:v>
                </c:pt>
                <c:pt idx="8">
                  <c:v>0.73499999999999999</c:v>
                </c:pt>
                <c:pt idx="9">
                  <c:v>0.74199999999999999</c:v>
                </c:pt>
                <c:pt idx="10">
                  <c:v>0.74299999999999999</c:v>
                </c:pt>
                <c:pt idx="11">
                  <c:v>0.76900000000000002</c:v>
                </c:pt>
                <c:pt idx="12">
                  <c:v>0.81299999999999994</c:v>
                </c:pt>
                <c:pt idx="13">
                  <c:v>0.84899999999999998</c:v>
                </c:pt>
                <c:pt idx="14">
                  <c:v>0.85399999999999998</c:v>
                </c:pt>
                <c:pt idx="15">
                  <c:v>0.85599999999999998</c:v>
                </c:pt>
                <c:pt idx="16">
                  <c:v>0.876</c:v>
                </c:pt>
                <c:pt idx="17">
                  <c:v>0.91600000000000004</c:v>
                </c:pt>
                <c:pt idx="18">
                  <c:v>0.92600000000000005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1-4940-B97E-A7DC1D9B8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6230047"/>
        <c:axId val="426231967"/>
      </c:barChart>
      <c:catAx>
        <c:axId val="42623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31967"/>
        <c:crosses val="autoZero"/>
        <c:auto val="1"/>
        <c:lblAlgn val="ctr"/>
        <c:lblOffset val="100"/>
        <c:noMultiLvlLbl val="0"/>
      </c:catAx>
      <c:valAx>
        <c:axId val="42623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3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Gloucestershire Hospitals — % Within 18 Weeks by Specialty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'RAG Scorecard'!$A$5:$A$23</c:f>
              <c:strCache>
                <c:ptCount val="19"/>
                <c:pt idx="0">
                  <c:v>Ear Nose and Throat</c:v>
                </c:pt>
                <c:pt idx="1">
                  <c:v>Trauma and Orthopaedic</c:v>
                </c:pt>
                <c:pt idx="2">
                  <c:v>Dermatology</c:v>
                </c:pt>
                <c:pt idx="3">
                  <c:v>Neurology</c:v>
                </c:pt>
                <c:pt idx="4">
                  <c:v>Rheumatology</c:v>
                </c:pt>
                <c:pt idx="5">
                  <c:v>Gynaecology</c:v>
                </c:pt>
                <c:pt idx="6">
                  <c:v>Oral Surgery</c:v>
                </c:pt>
                <c:pt idx="7">
                  <c:v>Paediatrics</c:v>
                </c:pt>
                <c:pt idx="8">
                  <c:v>Urology</c:v>
                </c:pt>
                <c:pt idx="9">
                  <c:v>Cardiology</c:v>
                </c:pt>
                <c:pt idx="10">
                  <c:v>Other Surgical</c:v>
                </c:pt>
                <c:pt idx="11">
                  <c:v>Ophthalmology</c:v>
                </c:pt>
                <c:pt idx="12">
                  <c:v>Other Medical</c:v>
                </c:pt>
                <c:pt idx="13">
                  <c:v>Respiratory</c:v>
                </c:pt>
                <c:pt idx="14">
                  <c:v>Elderly Medicine</c:v>
                </c:pt>
                <c:pt idx="15">
                  <c:v>Gastroenterology</c:v>
                </c:pt>
                <c:pt idx="16">
                  <c:v>General Internal Medicine</c:v>
                </c:pt>
                <c:pt idx="17">
                  <c:v>Other Services</c:v>
                </c:pt>
                <c:pt idx="18">
                  <c:v>Cardiothoracic Surgery</c:v>
                </c:pt>
              </c:strCache>
            </c:strRef>
          </c:cat>
          <c:val>
            <c:numRef>
              <c:f>'RAG Scorecard'!$D$5:$D$23</c:f>
              <c:numCache>
                <c:formatCode>0.0%</c:formatCode>
                <c:ptCount val="19"/>
                <c:pt idx="0">
                  <c:v>0.54</c:v>
                </c:pt>
                <c:pt idx="1">
                  <c:v>0.55100000000000005</c:v>
                </c:pt>
                <c:pt idx="2">
                  <c:v>0.56100000000000005</c:v>
                </c:pt>
                <c:pt idx="3">
                  <c:v>0.57299999999999995</c:v>
                </c:pt>
                <c:pt idx="4">
                  <c:v>0.60299999999999998</c:v>
                </c:pt>
                <c:pt idx="5">
                  <c:v>0.627</c:v>
                </c:pt>
                <c:pt idx="6">
                  <c:v>0.629</c:v>
                </c:pt>
                <c:pt idx="7">
                  <c:v>0.66</c:v>
                </c:pt>
                <c:pt idx="8">
                  <c:v>0.73499999999999999</c:v>
                </c:pt>
                <c:pt idx="9">
                  <c:v>0.74199999999999999</c:v>
                </c:pt>
                <c:pt idx="10">
                  <c:v>0.74299999999999999</c:v>
                </c:pt>
                <c:pt idx="11">
                  <c:v>0.76900000000000002</c:v>
                </c:pt>
                <c:pt idx="12">
                  <c:v>0.81299999999999994</c:v>
                </c:pt>
                <c:pt idx="13">
                  <c:v>0.84899999999999998</c:v>
                </c:pt>
                <c:pt idx="14">
                  <c:v>0.85399999999999998</c:v>
                </c:pt>
                <c:pt idx="15">
                  <c:v>0.85599999999999998</c:v>
                </c:pt>
                <c:pt idx="16">
                  <c:v>0.876</c:v>
                </c:pt>
                <c:pt idx="17">
                  <c:v>0.91600000000000004</c:v>
                </c:pt>
                <c:pt idx="18">
                  <c:v>0.92600000000000005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3-4F23-A5A1-B4554B5E1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6230047"/>
        <c:axId val="426231967"/>
      </c:barChart>
      <c:catAx>
        <c:axId val="42623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31967"/>
        <c:crosses val="autoZero"/>
        <c:auto val="1"/>
        <c:lblAlgn val="ctr"/>
        <c:lblOffset val="100"/>
        <c:noMultiLvlLbl val="0"/>
      </c:catAx>
      <c:valAx>
        <c:axId val="42623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3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213360</xdr:colOff>
      <xdr:row>11</xdr:row>
      <xdr:rowOff>68580</xdr:rowOff>
    </xdr:from>
    <xdr:to>
      <xdr:col>14</xdr:col>
      <xdr:colOff>121920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A33C2-325A-38FB-49D9-4D0D75ADB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5257800</xdr:colOff>
      <xdr:row>55</xdr:row>
      <xdr:rowOff>95251</xdr:rowOff>
    </xdr:from>
    <xdr:to>
      <xdr:col>0</xdr:col>
      <xdr:colOff>10334626</xdr:colOff>
      <xdr:row>73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76A468-AB07-47F3-B057-8F38E98DA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368B6C8-FFB9-411E-AF25-F09F6A2305EC}" autoFormatId="16" applyNumberFormats="0" applyBorderFormats="0" applyFontFormats="0" applyPatternFormats="0" applyAlignmentFormats="0" applyWidthHeightFormats="0">
  <queryTableRefresh nextId="9">
    <queryTableFields count="8">
      <queryTableField id="1" name="Specialty" tableColumnId="1"/>
      <queryTableField id="2" name="Dec 2025 Waiting List" tableColumnId="2"/>
      <queryTableField id="3" name="Jan 2026 Waiting List" tableColumnId="3"/>
      <queryTableField id="4" name="Change in List" tableColumnId="4"/>
      <queryTableField id="5" name="Dec 2025 %" tableColumnId="5"/>
      <queryTableField id="6" name="Jan 2026 %" tableColumnId="6"/>
      <queryTableField id="7" name="Change in %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BFDCE1-F1F3-491D-AA1F-C4F332E20B78}" name="month_on_month5" displayName="month_on_month5" ref="A4:H20" tableType="queryTable" totalsRowShown="0" headerRowDxfId="22" headerRowBorderDxfId="21" tableBorderDxfId="20" totalsRowBorderDxfId="19">
  <autoFilter ref="A4:H20" xr:uid="{F8BFDCE1-F1F3-491D-AA1F-C4F332E20B78}"/>
  <tableColumns count="8">
    <tableColumn id="1" xr3:uid="{79E2E96C-D85C-44FD-A9D1-9BCE95253C8E}" uniqueName="1" name="Specialty" queryTableFieldId="1" dataDxfId="7"/>
    <tableColumn id="2" xr3:uid="{B6FC435B-0D2D-409B-A4E1-7EC66B8F9E6C}" uniqueName="2" name="Dec 2025 Waiting List" queryTableFieldId="2" dataDxfId="6"/>
    <tableColumn id="3" xr3:uid="{8839524D-010E-4509-AECD-41787651F49C}" uniqueName="3" name="Jan 2026 Waiting List" queryTableFieldId="3" dataDxfId="5"/>
    <tableColumn id="4" xr3:uid="{87759545-1517-40CD-A69D-E9765901FA6F}" uniqueName="4" name="Change in List" queryTableFieldId="4" dataDxfId="4"/>
    <tableColumn id="5" xr3:uid="{4C732848-C622-4AF2-8352-568190B6BB7D}" uniqueName="5" name="Dec 2025 %" queryTableFieldId="5" dataDxfId="3"/>
    <tableColumn id="6" xr3:uid="{18BC38E3-B1F4-4118-B5C4-8D2F0716A27F}" uniqueName="6" name="Jan 2026 %" queryTableFieldId="6" dataDxfId="2"/>
    <tableColumn id="7" xr3:uid="{1A91A796-94F5-4A7B-926E-23E3D62EC03C}" uniqueName="7" name="Change in %" queryTableFieldId="7" dataDxfId="1"/>
    <tableColumn id="8" xr3:uid="{0930EB25-A545-4A40-BAE4-4D677BA6299A}" uniqueName="8" name="Status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F3FB-9AC4-4D77-83CE-8CB94F439591}">
  <dimension ref="A1:L23"/>
  <sheetViews>
    <sheetView zoomScaleNormal="100" workbookViewId="0">
      <pane ySplit="4" topLeftCell="A5" activePane="bottomLeft" state="frozen"/>
      <selection pane="bottomLeft" activeCell="F28" sqref="F28"/>
    </sheetView>
  </sheetViews>
  <sheetFormatPr defaultRowHeight="14.4" x14ac:dyDescent="0.3"/>
  <cols>
    <col min="1" max="1" width="22.21875" customWidth="1"/>
    <col min="2" max="2" width="10.88671875" customWidth="1"/>
    <col min="3" max="3" width="14.88671875" customWidth="1"/>
    <col min="4" max="9" width="15.77734375" customWidth="1"/>
    <col min="11" max="11" width="23.33203125" bestFit="1" customWidth="1"/>
  </cols>
  <sheetData>
    <row r="1" spans="1:12" x14ac:dyDescent="0.3">
      <c r="A1" t="s">
        <v>0</v>
      </c>
    </row>
    <row r="2" spans="1:12" x14ac:dyDescent="0.3">
      <c r="A2" t="s">
        <v>1</v>
      </c>
    </row>
    <row r="4" spans="1:12" x14ac:dyDescent="0.3">
      <c r="A4" s="2" t="s">
        <v>2</v>
      </c>
      <c r="B4" s="8" t="s">
        <v>3</v>
      </c>
      <c r="C4" s="8" t="s">
        <v>4</v>
      </c>
      <c r="D4" s="3" t="s">
        <v>5</v>
      </c>
      <c r="E4" s="3" t="s">
        <v>6</v>
      </c>
      <c r="F4" s="2" t="s">
        <v>7</v>
      </c>
      <c r="G4" s="2" t="s">
        <v>8</v>
      </c>
      <c r="H4" s="3" t="s">
        <v>9</v>
      </c>
      <c r="I4" s="2" t="s">
        <v>10</v>
      </c>
      <c r="K4" s="1" t="s">
        <v>30</v>
      </c>
    </row>
    <row r="5" spans="1:12" x14ac:dyDescent="0.3">
      <c r="A5" s="9" t="s">
        <v>11</v>
      </c>
      <c r="B5" s="10">
        <v>5184</v>
      </c>
      <c r="C5" s="10">
        <v>2798</v>
      </c>
      <c r="D5" s="11">
        <v>0.54</v>
      </c>
      <c r="E5" s="11">
        <v>0.38</v>
      </c>
      <c r="F5" s="9">
        <v>16.5</v>
      </c>
      <c r="G5" s="9">
        <v>1</v>
      </c>
      <c r="H5" s="11">
        <v>-4.0000000000000001E-3</v>
      </c>
      <c r="I5" s="12" t="str">
        <f>IF(D5&lt;0.6,"RED",IF(D5&lt;0.75,"AMBER","GREEN"))</f>
        <v>RED</v>
      </c>
      <c r="K5" t="s">
        <v>31</v>
      </c>
      <c r="L5">
        <f>COUNTA(A5:A23)</f>
        <v>19</v>
      </c>
    </row>
    <row r="6" spans="1:12" x14ac:dyDescent="0.3">
      <c r="A6" s="12" t="s">
        <v>17</v>
      </c>
      <c r="B6" s="13">
        <v>8999</v>
      </c>
      <c r="C6" s="13">
        <v>4961</v>
      </c>
      <c r="D6" s="14">
        <v>0.55100000000000005</v>
      </c>
      <c r="E6" s="14">
        <v>0.36899999999999999</v>
      </c>
      <c r="F6" s="12">
        <v>15.8</v>
      </c>
      <c r="G6" s="12">
        <v>1</v>
      </c>
      <c r="H6" s="14">
        <v>5.0000000000000001E-3</v>
      </c>
      <c r="I6" s="12" t="str">
        <f t="shared" ref="I6:I23" si="0">IF(D6&lt;0.6,"RED",IF(D6&lt;0.75,"AMBER","GREEN"))</f>
        <v>RED</v>
      </c>
      <c r="K6" t="s">
        <v>32</v>
      </c>
      <c r="L6">
        <f>COUNTIF(I5:I23,"RED")</f>
        <v>4</v>
      </c>
    </row>
    <row r="7" spans="1:12" x14ac:dyDescent="0.3">
      <c r="A7" s="9" t="s">
        <v>12</v>
      </c>
      <c r="B7" s="10">
        <v>4331</v>
      </c>
      <c r="C7" s="10">
        <v>2430</v>
      </c>
      <c r="D7" s="11">
        <v>0.56100000000000005</v>
      </c>
      <c r="E7" s="11">
        <v>0.35899999999999999</v>
      </c>
      <c r="F7" s="9">
        <v>15.8</v>
      </c>
      <c r="G7" s="9">
        <v>1</v>
      </c>
      <c r="H7" s="11">
        <v>1.9E-2</v>
      </c>
      <c r="I7" s="12" t="str">
        <f t="shared" si="0"/>
        <v>RED</v>
      </c>
      <c r="K7" t="s">
        <v>33</v>
      </c>
      <c r="L7">
        <f>COUNTIF(I5:I23,"AMBER")</f>
        <v>7</v>
      </c>
    </row>
    <row r="8" spans="1:12" x14ac:dyDescent="0.3">
      <c r="A8" s="12" t="s">
        <v>13</v>
      </c>
      <c r="B8" s="13">
        <v>2385</v>
      </c>
      <c r="C8" s="13">
        <v>1366</v>
      </c>
      <c r="D8" s="14">
        <v>0.57299999999999995</v>
      </c>
      <c r="E8" s="14">
        <v>0.34699999999999998</v>
      </c>
      <c r="F8" s="12">
        <v>14.4</v>
      </c>
      <c r="G8" s="12">
        <v>0</v>
      </c>
      <c r="H8" s="14">
        <v>-2.3E-2</v>
      </c>
      <c r="I8" s="12" t="str">
        <f t="shared" si="0"/>
        <v>RED</v>
      </c>
      <c r="K8" t="s">
        <v>34</v>
      </c>
      <c r="L8">
        <f>COUNTIF(I5:I23,"GREEN")</f>
        <v>8</v>
      </c>
    </row>
    <row r="9" spans="1:12" x14ac:dyDescent="0.3">
      <c r="A9" s="9" t="s">
        <v>14</v>
      </c>
      <c r="B9" s="10">
        <v>1055</v>
      </c>
      <c r="C9" s="10">
        <v>636</v>
      </c>
      <c r="D9" s="11">
        <v>0.60299999999999998</v>
      </c>
      <c r="E9" s="11">
        <v>0.317</v>
      </c>
      <c r="F9" s="9">
        <v>14.6</v>
      </c>
      <c r="G9" s="9">
        <v>0</v>
      </c>
      <c r="H9" s="11">
        <v>-5.0999999999999997E-2</v>
      </c>
      <c r="I9" s="12" t="str">
        <f t="shared" si="0"/>
        <v>AMBER</v>
      </c>
      <c r="K9" t="s">
        <v>35</v>
      </c>
      <c r="L9" s="15">
        <f>SUM(B5:B23)</f>
        <v>62861</v>
      </c>
    </row>
    <row r="10" spans="1:12" x14ac:dyDescent="0.3">
      <c r="A10" s="12" t="s">
        <v>15</v>
      </c>
      <c r="B10" s="13">
        <v>3318</v>
      </c>
      <c r="C10" s="13">
        <v>2081</v>
      </c>
      <c r="D10" s="14">
        <v>0.627</v>
      </c>
      <c r="E10" s="14">
        <v>0.29299999999999998</v>
      </c>
      <c r="F10" s="12">
        <v>13.1</v>
      </c>
      <c r="G10" s="12">
        <v>0</v>
      </c>
      <c r="H10" s="14">
        <v>-8.5000000000000006E-2</v>
      </c>
      <c r="I10" s="12" t="str">
        <f t="shared" si="0"/>
        <v>AMBER</v>
      </c>
      <c r="K10" t="s">
        <v>36</v>
      </c>
      <c r="L10" s="16">
        <f>AVERAGE(E5:E23)</f>
        <v>0.19278947368421051</v>
      </c>
    </row>
    <row r="11" spans="1:12" x14ac:dyDescent="0.3">
      <c r="A11" s="9" t="s">
        <v>16</v>
      </c>
      <c r="B11" s="10">
        <v>3163</v>
      </c>
      <c r="C11" s="10">
        <v>1988</v>
      </c>
      <c r="D11" s="11">
        <v>0.629</v>
      </c>
      <c r="E11" s="11">
        <v>0.29099999999999998</v>
      </c>
      <c r="F11" s="9">
        <v>13.8</v>
      </c>
      <c r="G11" s="9">
        <v>0</v>
      </c>
      <c r="H11" s="11">
        <v>0.02</v>
      </c>
      <c r="I11" s="12" t="str">
        <f t="shared" si="0"/>
        <v>AMBER</v>
      </c>
    </row>
    <row r="12" spans="1:12" x14ac:dyDescent="0.3">
      <c r="A12" s="12" t="s">
        <v>18</v>
      </c>
      <c r="B12" s="13">
        <v>1161</v>
      </c>
      <c r="C12" s="13">
        <v>766</v>
      </c>
      <c r="D12" s="14">
        <v>0.66</v>
      </c>
      <c r="E12" s="14">
        <v>0.26</v>
      </c>
      <c r="F12" s="12">
        <v>12.4</v>
      </c>
      <c r="G12" s="12">
        <v>0</v>
      </c>
      <c r="H12" s="14">
        <v>2.3E-2</v>
      </c>
      <c r="I12" s="12" t="str">
        <f t="shared" si="0"/>
        <v>AMBER</v>
      </c>
    </row>
    <row r="13" spans="1:12" x14ac:dyDescent="0.3">
      <c r="A13" s="9" t="s">
        <v>19</v>
      </c>
      <c r="B13" s="10">
        <v>3103</v>
      </c>
      <c r="C13" s="10">
        <v>2280</v>
      </c>
      <c r="D13" s="11">
        <v>0.73499999999999999</v>
      </c>
      <c r="E13" s="11">
        <v>0.185</v>
      </c>
      <c r="F13" s="9">
        <v>8.1999999999999993</v>
      </c>
      <c r="G13" s="9">
        <v>0</v>
      </c>
      <c r="H13" s="11">
        <v>-4.5999999999999999E-2</v>
      </c>
      <c r="I13" s="12" t="str">
        <f t="shared" si="0"/>
        <v>AMBER</v>
      </c>
    </row>
    <row r="14" spans="1:12" x14ac:dyDescent="0.3">
      <c r="A14" s="12" t="s">
        <v>20</v>
      </c>
      <c r="B14" s="13">
        <v>6212</v>
      </c>
      <c r="C14" s="13">
        <v>4612</v>
      </c>
      <c r="D14" s="14">
        <v>0.74199999999999999</v>
      </c>
      <c r="E14" s="14">
        <v>0.17799999999999999</v>
      </c>
      <c r="F14" s="12">
        <v>8.3000000000000007</v>
      </c>
      <c r="G14" s="12">
        <v>0</v>
      </c>
      <c r="H14" s="14">
        <v>-0.01</v>
      </c>
      <c r="I14" s="12" t="str">
        <f t="shared" si="0"/>
        <v>AMBER</v>
      </c>
    </row>
    <row r="15" spans="1:12" x14ac:dyDescent="0.3">
      <c r="A15" s="9" t="s">
        <v>21</v>
      </c>
      <c r="B15" s="10">
        <v>6837</v>
      </c>
      <c r="C15" s="10">
        <v>5082</v>
      </c>
      <c r="D15" s="11">
        <v>0.74299999999999999</v>
      </c>
      <c r="E15" s="11">
        <v>0.17699999999999999</v>
      </c>
      <c r="F15" s="9">
        <v>8.5</v>
      </c>
      <c r="G15" s="9">
        <v>15</v>
      </c>
      <c r="H15" s="11">
        <v>1.2999999999999999E-2</v>
      </c>
      <c r="I15" s="12" t="str">
        <f t="shared" si="0"/>
        <v>AMBER</v>
      </c>
    </row>
    <row r="16" spans="1:12" x14ac:dyDescent="0.3">
      <c r="A16" s="12" t="s">
        <v>22</v>
      </c>
      <c r="B16" s="13">
        <v>3259</v>
      </c>
      <c r="C16" s="13">
        <v>2505</v>
      </c>
      <c r="D16" s="14">
        <v>0.76900000000000002</v>
      </c>
      <c r="E16" s="14">
        <v>0.151</v>
      </c>
      <c r="F16" s="12">
        <v>9.1</v>
      </c>
      <c r="G16" s="12">
        <v>3</v>
      </c>
      <c r="H16" s="14">
        <v>8.7999999999999995E-2</v>
      </c>
      <c r="I16" s="12" t="str">
        <f t="shared" si="0"/>
        <v>GREEN</v>
      </c>
    </row>
    <row r="17" spans="1:9" x14ac:dyDescent="0.3">
      <c r="A17" s="9" t="s">
        <v>23</v>
      </c>
      <c r="B17" s="10">
        <v>7860</v>
      </c>
      <c r="C17" s="10">
        <v>6394</v>
      </c>
      <c r="D17" s="11">
        <v>0.81299999999999994</v>
      </c>
      <c r="E17" s="11">
        <v>0.107</v>
      </c>
      <c r="F17" s="9">
        <v>6.9</v>
      </c>
      <c r="G17" s="9">
        <v>0</v>
      </c>
      <c r="H17" s="11">
        <v>-3.1E-2</v>
      </c>
      <c r="I17" s="12" t="str">
        <f t="shared" si="0"/>
        <v>GREEN</v>
      </c>
    </row>
    <row r="18" spans="1:9" x14ac:dyDescent="0.3">
      <c r="A18" s="12" t="s">
        <v>24</v>
      </c>
      <c r="B18" s="13">
        <v>959</v>
      </c>
      <c r="C18" s="13">
        <v>814</v>
      </c>
      <c r="D18" s="14">
        <v>0.84899999999999998</v>
      </c>
      <c r="E18" s="14">
        <v>7.0999999999999994E-2</v>
      </c>
      <c r="F18" s="12">
        <v>8</v>
      </c>
      <c r="G18" s="12">
        <v>0</v>
      </c>
      <c r="H18" s="14">
        <v>-8.9999999999999993E-3</v>
      </c>
      <c r="I18" s="12" t="str">
        <f t="shared" si="0"/>
        <v>GREEN</v>
      </c>
    </row>
    <row r="19" spans="1:9" x14ac:dyDescent="0.3">
      <c r="A19" s="9" t="s">
        <v>25</v>
      </c>
      <c r="B19" s="10">
        <v>356</v>
      </c>
      <c r="C19" s="10">
        <v>304</v>
      </c>
      <c r="D19" s="11">
        <v>0.85399999999999998</v>
      </c>
      <c r="E19" s="11">
        <v>6.6000000000000003E-2</v>
      </c>
      <c r="F19" s="9">
        <v>7.4</v>
      </c>
      <c r="G19" s="9">
        <v>0</v>
      </c>
      <c r="H19" s="11">
        <v>-1.4E-2</v>
      </c>
      <c r="I19" s="12" t="str">
        <f t="shared" si="0"/>
        <v>GREEN</v>
      </c>
    </row>
    <row r="20" spans="1:9" x14ac:dyDescent="0.3">
      <c r="A20" s="12" t="s">
        <v>26</v>
      </c>
      <c r="B20" s="13">
        <v>3872</v>
      </c>
      <c r="C20" s="13">
        <v>3316</v>
      </c>
      <c r="D20" s="14">
        <v>0.85599999999999998</v>
      </c>
      <c r="E20" s="14">
        <v>6.4000000000000001E-2</v>
      </c>
      <c r="F20" s="12">
        <v>8.4</v>
      </c>
      <c r="G20" s="12">
        <v>0</v>
      </c>
      <c r="H20" s="14">
        <v>-5.0000000000000001E-3</v>
      </c>
      <c r="I20" s="12" t="str">
        <f t="shared" si="0"/>
        <v>GREEN</v>
      </c>
    </row>
    <row r="21" spans="1:9" x14ac:dyDescent="0.3">
      <c r="A21" s="9" t="s">
        <v>27</v>
      </c>
      <c r="B21" s="10">
        <v>194</v>
      </c>
      <c r="C21" s="10">
        <v>170</v>
      </c>
      <c r="D21" s="11">
        <v>0.876</v>
      </c>
      <c r="E21" s="11">
        <v>4.3999999999999997E-2</v>
      </c>
      <c r="F21" s="9">
        <v>7.6</v>
      </c>
      <c r="G21" s="9">
        <v>0</v>
      </c>
      <c r="H21" s="11">
        <v>0.104</v>
      </c>
      <c r="I21" s="12" t="str">
        <f t="shared" si="0"/>
        <v>GREEN</v>
      </c>
    </row>
    <row r="22" spans="1:9" x14ac:dyDescent="0.3">
      <c r="A22" s="12" t="s">
        <v>28</v>
      </c>
      <c r="B22" s="13">
        <v>586</v>
      </c>
      <c r="C22" s="13">
        <v>537</v>
      </c>
      <c r="D22" s="14">
        <v>0.91600000000000004</v>
      </c>
      <c r="E22" s="14">
        <v>4.0000000000000001E-3</v>
      </c>
      <c r="F22" s="12">
        <v>5.6</v>
      </c>
      <c r="G22" s="12">
        <v>0</v>
      </c>
      <c r="H22" s="14">
        <v>-4.4999999999999998E-2</v>
      </c>
      <c r="I22" s="12" t="str">
        <f t="shared" si="0"/>
        <v>GREEN</v>
      </c>
    </row>
    <row r="23" spans="1:9" x14ac:dyDescent="0.3">
      <c r="A23" s="9" t="s">
        <v>29</v>
      </c>
      <c r="B23" s="10">
        <v>27</v>
      </c>
      <c r="C23" s="10">
        <v>25</v>
      </c>
      <c r="D23" s="11">
        <v>0.92600000000000005</v>
      </c>
      <c r="E23" s="11">
        <v>0</v>
      </c>
      <c r="F23" s="9">
        <v>8.5</v>
      </c>
      <c r="G23" s="9">
        <v>0</v>
      </c>
      <c r="H23" s="11">
        <v>0.17599999999999999</v>
      </c>
      <c r="I23" s="12" t="str">
        <f t="shared" si="0"/>
        <v>GREEN</v>
      </c>
    </row>
  </sheetData>
  <conditionalFormatting sqref="A5:I23">
    <cfRule type="expression" dxfId="18" priority="1">
      <formula>$I5="RED"</formula>
    </cfRule>
  </conditionalFormatting>
  <conditionalFormatting sqref="I5:I23">
    <cfRule type="cellIs" dxfId="17" priority="3" operator="equal">
      <formula>"GREEN"</formula>
    </cfRule>
    <cfRule type="cellIs" dxfId="16" priority="4" operator="equal">
      <formula>"AMBER"</formula>
    </cfRule>
    <cfRule type="cellIs" dxfId="15" priority="5" operator="equal">
      <formula>"RED"</formula>
    </cfRule>
  </conditionalFormatting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483F-3C28-45E4-B52E-9C16503C1DEC}">
  <dimension ref="A1:M14"/>
  <sheetViews>
    <sheetView workbookViewId="0">
      <selection activeCell="C27" sqref="C27"/>
    </sheetView>
  </sheetViews>
  <sheetFormatPr defaultRowHeight="14.4" x14ac:dyDescent="0.3"/>
  <cols>
    <col min="1" max="1" width="23.77734375" customWidth="1"/>
    <col min="12" max="12" width="14.88671875" customWidth="1"/>
    <col min="13" max="13" width="13.5546875" bestFit="1" customWidth="1"/>
  </cols>
  <sheetData>
    <row r="1" spans="1:13" x14ac:dyDescent="0.3">
      <c r="A1" t="s">
        <v>37</v>
      </c>
    </row>
    <row r="2" spans="1:13" x14ac:dyDescent="0.3">
      <c r="A2" t="s">
        <v>38</v>
      </c>
    </row>
    <row r="4" spans="1:13" x14ac:dyDescent="0.3">
      <c r="B4" s="17">
        <v>45748</v>
      </c>
      <c r="C4" s="17">
        <v>45778</v>
      </c>
      <c r="D4" s="17">
        <v>45809</v>
      </c>
      <c r="E4" s="17">
        <v>45839</v>
      </c>
      <c r="F4" s="17">
        <v>45870</v>
      </c>
      <c r="G4" s="17">
        <v>45901</v>
      </c>
      <c r="H4" s="17">
        <v>45931</v>
      </c>
      <c r="I4" s="17">
        <v>45962</v>
      </c>
      <c r="J4" s="17">
        <v>45992</v>
      </c>
      <c r="K4" s="17">
        <v>46023</v>
      </c>
      <c r="L4" s="2" t="s">
        <v>39</v>
      </c>
      <c r="M4" s="2" t="s">
        <v>40</v>
      </c>
    </row>
    <row r="5" spans="1:13" x14ac:dyDescent="0.3">
      <c r="A5" t="s">
        <v>17</v>
      </c>
      <c r="B5" s="5">
        <v>0.54600000000000004</v>
      </c>
      <c r="C5" s="5">
        <v>0.54300000000000004</v>
      </c>
      <c r="D5" s="5">
        <v>0.54</v>
      </c>
      <c r="E5" s="5">
        <v>0.53800000000000003</v>
      </c>
      <c r="F5" s="5">
        <v>0.53500000000000003</v>
      </c>
      <c r="G5" s="5">
        <v>0.55200000000000005</v>
      </c>
      <c r="H5" s="5">
        <v>0.55400000000000005</v>
      </c>
      <c r="I5" s="5">
        <v>0.55700000000000005</v>
      </c>
      <c r="J5" s="5">
        <v>0.55400000000000005</v>
      </c>
      <c r="K5" s="7">
        <v>0.55100000000000005</v>
      </c>
      <c r="M5" t="str">
        <f>IF(K5&gt;B5,"⬆ Improving",IF(K5&lt;B5,"⬇ Deteriorating","➡ Stable"))</f>
        <v>⬆ Improving</v>
      </c>
    </row>
    <row r="6" spans="1:13" x14ac:dyDescent="0.3">
      <c r="A6" t="s">
        <v>41</v>
      </c>
      <c r="B6" s="4">
        <v>0.53600000000000003</v>
      </c>
      <c r="C6" s="4">
        <v>0.53100000000000003</v>
      </c>
      <c r="D6" s="4">
        <v>0.53400000000000003</v>
      </c>
      <c r="E6" s="4">
        <v>0.52800000000000002</v>
      </c>
      <c r="F6" s="4">
        <v>0.52500000000000002</v>
      </c>
      <c r="G6" s="4">
        <v>0.54300000000000004</v>
      </c>
      <c r="H6" s="4">
        <v>0.54100000000000004</v>
      </c>
      <c r="I6" s="4">
        <v>0.54500000000000004</v>
      </c>
      <c r="J6" s="4">
        <v>0.54200000000000004</v>
      </c>
      <c r="K6" s="6">
        <v>0.54</v>
      </c>
      <c r="M6" t="str">
        <f>IF(K6&gt;B6,"⬆ Improving",IF(K6&lt;B6,"⬇ Deteriorating","➡ Stable"))</f>
        <v>⬆ Improving</v>
      </c>
    </row>
    <row r="7" spans="1:13" x14ac:dyDescent="0.3">
      <c r="A7" t="s">
        <v>12</v>
      </c>
      <c r="B7" s="5">
        <v>0.54200000000000004</v>
      </c>
      <c r="C7" s="5">
        <v>0.54800000000000004</v>
      </c>
      <c r="D7" s="5">
        <v>0.55100000000000005</v>
      </c>
      <c r="E7" s="5">
        <v>0.55300000000000005</v>
      </c>
      <c r="F7" s="5">
        <v>0.55600000000000005</v>
      </c>
      <c r="G7" s="5">
        <v>0.56799999999999995</v>
      </c>
      <c r="H7" s="5">
        <v>0.56399999999999995</v>
      </c>
      <c r="I7" s="5">
        <v>0.56899999999999995</v>
      </c>
      <c r="J7" s="5">
        <v>0.56499999999999995</v>
      </c>
      <c r="K7" s="7">
        <v>0.56100000000000005</v>
      </c>
      <c r="M7" t="str">
        <f t="shared" ref="M7:M14" si="0">IF(K7&gt;B7,"⬆ Improving",IF(K7&lt;B7,"⬇ Deteriorating","➡ Stable"))</f>
        <v>⬆ Improving</v>
      </c>
    </row>
    <row r="8" spans="1:13" x14ac:dyDescent="0.3">
      <c r="A8" t="s">
        <v>13</v>
      </c>
      <c r="B8" s="4">
        <v>0.59599999999999997</v>
      </c>
      <c r="C8" s="4">
        <v>0.59099999999999997</v>
      </c>
      <c r="D8" s="4">
        <v>0.58799999999999997</v>
      </c>
      <c r="E8" s="4">
        <v>0.58299999999999996</v>
      </c>
      <c r="F8" s="4">
        <v>0.57899999999999996</v>
      </c>
      <c r="G8" s="4">
        <v>0.58399999999999996</v>
      </c>
      <c r="H8" s="4">
        <v>0.57799999999999996</v>
      </c>
      <c r="I8" s="4">
        <v>0.57599999999999996</v>
      </c>
      <c r="J8" s="4">
        <v>0.57499999999999996</v>
      </c>
      <c r="K8" s="6">
        <v>0.57299999999999995</v>
      </c>
      <c r="M8" t="str">
        <f t="shared" si="0"/>
        <v>⬇ Deteriorating</v>
      </c>
    </row>
    <row r="9" spans="1:13" x14ac:dyDescent="0.3">
      <c r="A9" t="s">
        <v>14</v>
      </c>
      <c r="B9" s="5">
        <v>0.65400000000000003</v>
      </c>
      <c r="C9" s="5">
        <v>0.64800000000000002</v>
      </c>
      <c r="D9" s="5">
        <v>0.63900000000000001</v>
      </c>
      <c r="E9" s="5">
        <v>0.63100000000000001</v>
      </c>
      <c r="F9" s="5">
        <v>0.625</v>
      </c>
      <c r="G9" s="5">
        <v>0.61799999999999999</v>
      </c>
      <c r="H9" s="5">
        <v>0.61199999999999999</v>
      </c>
      <c r="I9" s="5">
        <v>0.60799999999999998</v>
      </c>
      <c r="J9" s="5">
        <v>0.60499999999999998</v>
      </c>
      <c r="K9" s="7">
        <v>0.60299999999999998</v>
      </c>
      <c r="M9" t="str">
        <f t="shared" si="0"/>
        <v>⬇ Deteriorating</v>
      </c>
    </row>
    <row r="10" spans="1:13" x14ac:dyDescent="0.3">
      <c r="A10" t="s">
        <v>15</v>
      </c>
      <c r="B10" s="4">
        <v>0.71299999999999997</v>
      </c>
      <c r="C10" s="4">
        <v>0.70099999999999996</v>
      </c>
      <c r="D10" s="4">
        <v>0.69399999999999995</v>
      </c>
      <c r="E10" s="4">
        <v>0.68200000000000005</v>
      </c>
      <c r="F10" s="4">
        <v>0.67500000000000004</v>
      </c>
      <c r="G10" s="4">
        <v>0.67900000000000005</v>
      </c>
      <c r="H10" s="4">
        <v>0.65800000000000003</v>
      </c>
      <c r="I10" s="4">
        <v>0.64300000000000002</v>
      </c>
      <c r="J10" s="4">
        <v>0.63500000000000001</v>
      </c>
      <c r="K10" s="6">
        <v>0.627</v>
      </c>
      <c r="M10" t="str">
        <f t="shared" si="0"/>
        <v>⬇ Deteriorating</v>
      </c>
    </row>
    <row r="11" spans="1:13" x14ac:dyDescent="0.3">
      <c r="A11" t="s">
        <v>20</v>
      </c>
      <c r="B11" s="5">
        <v>0.753</v>
      </c>
      <c r="C11" s="5">
        <v>0.748</v>
      </c>
      <c r="D11" s="5">
        <v>0.745</v>
      </c>
      <c r="E11" s="5">
        <v>0.73899999999999999</v>
      </c>
      <c r="F11" s="5">
        <v>0.73199999999999998</v>
      </c>
      <c r="G11" s="5">
        <v>0.74099999999999999</v>
      </c>
      <c r="H11" s="5">
        <v>0.745</v>
      </c>
      <c r="I11" s="5">
        <v>0.748</v>
      </c>
      <c r="J11" s="5">
        <v>0.745</v>
      </c>
      <c r="K11" s="7">
        <v>0.74199999999999999</v>
      </c>
      <c r="M11" t="str">
        <f t="shared" si="0"/>
        <v>⬇ Deteriorating</v>
      </c>
    </row>
    <row r="12" spans="1:13" x14ac:dyDescent="0.3">
      <c r="A12" t="s">
        <v>22</v>
      </c>
      <c r="B12" s="4">
        <v>0.68100000000000005</v>
      </c>
      <c r="C12" s="4">
        <v>0.69199999999999995</v>
      </c>
      <c r="D12" s="4">
        <v>0.70299999999999996</v>
      </c>
      <c r="E12" s="4">
        <v>0.71499999999999997</v>
      </c>
      <c r="F12" s="4">
        <v>0.72799999999999998</v>
      </c>
      <c r="G12" s="4">
        <v>0.74099999999999999</v>
      </c>
      <c r="H12" s="4">
        <v>0.753</v>
      </c>
      <c r="I12" s="4">
        <v>0.76500000000000001</v>
      </c>
      <c r="J12" s="4">
        <v>0.76800000000000002</v>
      </c>
      <c r="K12" s="6">
        <v>0.76900000000000002</v>
      </c>
      <c r="M12" t="str">
        <f t="shared" si="0"/>
        <v>⬆ Improving</v>
      </c>
    </row>
    <row r="13" spans="1:13" x14ac:dyDescent="0.3">
      <c r="A13" t="s">
        <v>26</v>
      </c>
      <c r="B13" s="5">
        <v>0.86199999999999999</v>
      </c>
      <c r="C13" s="5">
        <v>0.85799999999999998</v>
      </c>
      <c r="D13" s="5">
        <v>0.85399999999999998</v>
      </c>
      <c r="E13" s="5">
        <v>0.85099999999999998</v>
      </c>
      <c r="F13" s="5">
        <v>0.84799999999999998</v>
      </c>
      <c r="G13" s="5">
        <v>0.85899999999999999</v>
      </c>
      <c r="H13" s="5">
        <v>0.86099999999999999</v>
      </c>
      <c r="I13" s="5">
        <v>0.85799999999999998</v>
      </c>
      <c r="J13" s="5">
        <v>0.85699999999999998</v>
      </c>
      <c r="K13" s="7">
        <v>0.85599999999999998</v>
      </c>
      <c r="M13" t="str">
        <f t="shared" si="0"/>
        <v>⬇ Deteriorating</v>
      </c>
    </row>
    <row r="14" spans="1:13" x14ac:dyDescent="0.3">
      <c r="A14" t="s">
        <v>42</v>
      </c>
      <c r="B14" s="4">
        <v>0.69</v>
      </c>
      <c r="C14" s="4">
        <v>0.68600000000000005</v>
      </c>
      <c r="D14" s="4">
        <v>0.68899999999999995</v>
      </c>
      <c r="E14" s="4">
        <v>0.67900000000000005</v>
      </c>
      <c r="F14" s="4">
        <v>0.67300000000000004</v>
      </c>
      <c r="G14" s="4">
        <v>0.69799999999999995</v>
      </c>
      <c r="H14" s="4">
        <v>0.69399999999999995</v>
      </c>
      <c r="I14" s="4">
        <v>0.7</v>
      </c>
      <c r="J14" s="4">
        <v>0.69299999999999995</v>
      </c>
      <c r="K14" s="6">
        <v>0.68500000000000005</v>
      </c>
      <c r="M14" t="str">
        <f t="shared" si="0"/>
        <v>⬇ Deteriorating</v>
      </c>
    </row>
  </sheetData>
  <conditionalFormatting sqref="M5:M14">
    <cfRule type="cellIs" dxfId="14" priority="1" operator="equal">
      <formula>$M$8</formula>
    </cfRule>
    <cfRule type="cellIs" priority="2" operator="equal">
      <formula>$M$8</formula>
    </cfRule>
    <cfRule type="cellIs" dxfId="13" priority="3" operator="equal">
      <formula>$M$5</formula>
    </cfRule>
    <cfRule type="cellIs" dxfId="12" priority="4" operator="equal">
      <formula>"Improving"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2CA5BEE-D929-4BFE-8159-F23B1EFA00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'Trend Analysis'!B5:K5</xm:f>
              <xm:sqref>L5</xm:sqref>
            </x14:sparkline>
            <x14:sparkline>
              <xm:f>'Trend Analysis'!B6:K6</xm:f>
              <xm:sqref>L6</xm:sqref>
            </x14:sparkline>
            <x14:sparkline>
              <xm:f>'Trend Analysis'!B7:K7</xm:f>
              <xm:sqref>L7</xm:sqref>
            </x14:sparkline>
            <x14:sparkline>
              <xm:f>'Trend Analysis'!B8:K8</xm:f>
              <xm:sqref>L8</xm:sqref>
            </x14:sparkline>
            <x14:sparkline>
              <xm:f>'Trend Analysis'!B9:K9</xm:f>
              <xm:sqref>L9</xm:sqref>
            </x14:sparkline>
            <x14:sparkline>
              <xm:f>'Trend Analysis'!B10:K10</xm:f>
              <xm:sqref>L10</xm:sqref>
            </x14:sparkline>
            <x14:sparkline>
              <xm:f>'Trend Analysis'!B11:K11</xm:f>
              <xm:sqref>L11</xm:sqref>
            </x14:sparkline>
            <x14:sparkline>
              <xm:f>'Trend Analysis'!B12:K12</xm:f>
              <xm:sqref>L12</xm:sqref>
            </x14:sparkline>
            <x14:sparkline>
              <xm:f>'Trend Analysis'!B13:K13</xm:f>
              <xm:sqref>L13</xm:sqref>
            </x14:sparkline>
            <x14:sparkline>
              <xm:f>'Trend Analysis'!B14:K14</xm:f>
              <xm:sqref>L14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1E06-45BA-425E-91F2-A2565580AE8F}">
  <dimension ref="A1:K20"/>
  <sheetViews>
    <sheetView topLeftCell="E1" workbookViewId="0">
      <selection activeCell="I22" sqref="I22"/>
    </sheetView>
  </sheetViews>
  <sheetFormatPr defaultRowHeight="14.4" x14ac:dyDescent="0.3"/>
  <cols>
    <col min="1" max="1" width="21.5546875" bestFit="1" customWidth="1"/>
    <col min="2" max="2" width="21.109375" bestFit="1" customWidth="1"/>
    <col min="3" max="3" width="20.77734375" bestFit="1" customWidth="1"/>
    <col min="4" max="4" width="14.77734375" bestFit="1" customWidth="1"/>
    <col min="5" max="5" width="12.6640625" bestFit="1" customWidth="1"/>
    <col min="6" max="6" width="12.33203125" bestFit="1" customWidth="1"/>
    <col min="7" max="7" width="13.44140625" bestFit="1" customWidth="1"/>
    <col min="8" max="8" width="8.44140625" bestFit="1" customWidth="1"/>
    <col min="10" max="10" width="19.44140625" bestFit="1" customWidth="1"/>
    <col min="11" max="11" width="15.33203125" bestFit="1" customWidth="1"/>
  </cols>
  <sheetData>
    <row r="1" spans="1:11" x14ac:dyDescent="0.3">
      <c r="A1" t="s">
        <v>43</v>
      </c>
    </row>
    <row r="2" spans="1:11" x14ac:dyDescent="0.3">
      <c r="A2" t="s">
        <v>44</v>
      </c>
    </row>
    <row r="4" spans="1:11" x14ac:dyDescent="0.3">
      <c r="A4" s="26" t="s">
        <v>2</v>
      </c>
      <c r="B4" s="27" t="s">
        <v>45</v>
      </c>
      <c r="C4" s="27" t="s">
        <v>46</v>
      </c>
      <c r="D4" s="27" t="s">
        <v>47</v>
      </c>
      <c r="E4" s="28" t="s">
        <v>48</v>
      </c>
      <c r="F4" s="28" t="s">
        <v>49</v>
      </c>
      <c r="G4" s="28" t="s">
        <v>50</v>
      </c>
      <c r="H4" s="29" t="s">
        <v>51</v>
      </c>
      <c r="J4" s="1" t="s">
        <v>54</v>
      </c>
    </row>
    <row r="5" spans="1:11" x14ac:dyDescent="0.3">
      <c r="A5" s="18" t="s">
        <v>17</v>
      </c>
      <c r="B5" s="19">
        <v>8946</v>
      </c>
      <c r="C5" s="19">
        <v>8999</v>
      </c>
      <c r="D5" s="19">
        <v>53</v>
      </c>
      <c r="E5" s="20">
        <v>0.55400000000000005</v>
      </c>
      <c r="F5" s="20">
        <v>0.55100000000000005</v>
      </c>
      <c r="G5" s="20">
        <v>-3.0000000000000001E-3</v>
      </c>
      <c r="H5" s="21" t="s">
        <v>52</v>
      </c>
      <c r="J5" t="s">
        <v>55</v>
      </c>
      <c r="K5">
        <f>COUNTIF(H5:H20,"Worse")</f>
        <v>11</v>
      </c>
    </row>
    <row r="6" spans="1:11" x14ac:dyDescent="0.3">
      <c r="A6" s="18" t="s">
        <v>41</v>
      </c>
      <c r="B6" s="19">
        <v>5232</v>
      </c>
      <c r="C6" s="19">
        <v>5184</v>
      </c>
      <c r="D6" s="19">
        <v>-48</v>
      </c>
      <c r="E6" s="20">
        <v>0.54200000000000004</v>
      </c>
      <c r="F6" s="20">
        <v>0.54</v>
      </c>
      <c r="G6" s="20">
        <v>-2E-3</v>
      </c>
      <c r="H6" s="21" t="s">
        <v>52</v>
      </c>
      <c r="J6" t="s">
        <v>56</v>
      </c>
      <c r="K6">
        <f>COUNTIF(H5:H20,"Better")</f>
        <v>5</v>
      </c>
    </row>
    <row r="7" spans="1:11" x14ac:dyDescent="0.3">
      <c r="A7" s="18" t="s">
        <v>12</v>
      </c>
      <c r="B7" s="19">
        <v>4389</v>
      </c>
      <c r="C7" s="19">
        <v>4331</v>
      </c>
      <c r="D7" s="19">
        <v>-58</v>
      </c>
      <c r="E7" s="20">
        <v>0.56499999999999995</v>
      </c>
      <c r="F7" s="20">
        <v>0.56100000000000005</v>
      </c>
      <c r="G7" s="20">
        <v>-4.0000000000000001E-3</v>
      </c>
      <c r="H7" s="21" t="s">
        <v>52</v>
      </c>
      <c r="J7" t="s">
        <v>57</v>
      </c>
      <c r="K7" s="15">
        <f>SUM(D5:D20)</f>
        <v>200</v>
      </c>
    </row>
    <row r="8" spans="1:11" x14ac:dyDescent="0.3">
      <c r="A8" s="18" t="s">
        <v>13</v>
      </c>
      <c r="B8" s="19">
        <v>2401</v>
      </c>
      <c r="C8" s="19">
        <v>2385</v>
      </c>
      <c r="D8" s="19">
        <v>-16</v>
      </c>
      <c r="E8" s="20">
        <v>0.57499999999999996</v>
      </c>
      <c r="F8" s="20">
        <v>0.57299999999999995</v>
      </c>
      <c r="G8" s="20">
        <v>-2E-3</v>
      </c>
      <c r="H8" s="21" t="s">
        <v>52</v>
      </c>
      <c r="J8" t="s">
        <v>58</v>
      </c>
      <c r="K8" t="str">
        <f>INDEX(A5:A20,MATCH(MIN(F5:F20),F5:F20,0))</f>
        <v>ENT</v>
      </c>
    </row>
    <row r="9" spans="1:11" x14ac:dyDescent="0.3">
      <c r="A9" s="18" t="s">
        <v>14</v>
      </c>
      <c r="B9" s="19">
        <v>1078</v>
      </c>
      <c r="C9" s="19">
        <v>1055</v>
      </c>
      <c r="D9" s="19">
        <v>-23</v>
      </c>
      <c r="E9" s="20">
        <v>0.60499999999999998</v>
      </c>
      <c r="F9" s="20">
        <v>0.60299999999999998</v>
      </c>
      <c r="G9" s="20">
        <v>-2E-3</v>
      </c>
      <c r="H9" s="21" t="s">
        <v>52</v>
      </c>
      <c r="J9" t="s">
        <v>59</v>
      </c>
      <c r="K9" t="str">
        <f>INDEX(A5:A20,MATCH(MAX(F5:F20),F5:F20,0))</f>
        <v>Gastroenterology</v>
      </c>
    </row>
    <row r="10" spans="1:11" x14ac:dyDescent="0.3">
      <c r="A10" s="18" t="s">
        <v>15</v>
      </c>
      <c r="B10" s="19">
        <v>3406</v>
      </c>
      <c r="C10" s="19">
        <v>3318</v>
      </c>
      <c r="D10" s="19">
        <v>-88</v>
      </c>
      <c r="E10" s="20">
        <v>0.63500000000000001</v>
      </c>
      <c r="F10" s="20">
        <v>0.627</v>
      </c>
      <c r="G10" s="20">
        <v>-8.0000000000000002E-3</v>
      </c>
      <c r="H10" s="21" t="s">
        <v>52</v>
      </c>
    </row>
    <row r="11" spans="1:11" x14ac:dyDescent="0.3">
      <c r="A11" s="18" t="s">
        <v>20</v>
      </c>
      <c r="B11" s="19">
        <v>6287</v>
      </c>
      <c r="C11" s="19">
        <v>6212</v>
      </c>
      <c r="D11" s="19">
        <v>-75</v>
      </c>
      <c r="E11" s="20">
        <v>0.745</v>
      </c>
      <c r="F11" s="20">
        <v>0.74199999999999999</v>
      </c>
      <c r="G11" s="20">
        <v>-3.0000000000000001E-3</v>
      </c>
      <c r="H11" s="21" t="s">
        <v>52</v>
      </c>
    </row>
    <row r="12" spans="1:11" x14ac:dyDescent="0.3">
      <c r="A12" s="18" t="s">
        <v>22</v>
      </c>
      <c r="B12" s="19">
        <v>3298</v>
      </c>
      <c r="C12" s="19">
        <v>3259</v>
      </c>
      <c r="D12" s="19">
        <v>-39</v>
      </c>
      <c r="E12" s="20">
        <v>0.76800000000000002</v>
      </c>
      <c r="F12" s="20">
        <v>0.76900000000000002</v>
      </c>
      <c r="G12" s="20">
        <v>1E-3</v>
      </c>
      <c r="H12" s="21" t="s">
        <v>53</v>
      </c>
    </row>
    <row r="13" spans="1:11" x14ac:dyDescent="0.3">
      <c r="A13" s="18" t="s">
        <v>26</v>
      </c>
      <c r="B13" s="19">
        <v>3891</v>
      </c>
      <c r="C13" s="19">
        <v>3872</v>
      </c>
      <c r="D13" s="19">
        <v>-19</v>
      </c>
      <c r="E13" s="20">
        <v>0.85699999999999998</v>
      </c>
      <c r="F13" s="20">
        <v>0.85599999999999998</v>
      </c>
      <c r="G13" s="20">
        <v>-1E-3</v>
      </c>
      <c r="H13" s="21" t="s">
        <v>52</v>
      </c>
    </row>
    <row r="14" spans="1:11" x14ac:dyDescent="0.3">
      <c r="A14" s="18" t="s">
        <v>24</v>
      </c>
      <c r="B14" s="19">
        <v>971</v>
      </c>
      <c r="C14" s="19">
        <v>959</v>
      </c>
      <c r="D14" s="19">
        <v>-12</v>
      </c>
      <c r="E14" s="20">
        <v>0.84799999999999998</v>
      </c>
      <c r="F14" s="20">
        <v>0.84899999999999998</v>
      </c>
      <c r="G14" s="20">
        <v>1E-3</v>
      </c>
      <c r="H14" s="21" t="s">
        <v>53</v>
      </c>
    </row>
    <row r="15" spans="1:11" x14ac:dyDescent="0.3">
      <c r="A15" s="18" t="s">
        <v>25</v>
      </c>
      <c r="B15" s="19">
        <v>361</v>
      </c>
      <c r="C15" s="19">
        <v>356</v>
      </c>
      <c r="D15" s="19">
        <v>-5</v>
      </c>
      <c r="E15" s="20">
        <v>0.85199999999999998</v>
      </c>
      <c r="F15" s="20">
        <v>0.85399999999999998</v>
      </c>
      <c r="G15" s="20">
        <v>2E-3</v>
      </c>
      <c r="H15" s="21" t="s">
        <v>53</v>
      </c>
    </row>
    <row r="16" spans="1:11" x14ac:dyDescent="0.3">
      <c r="A16" s="18" t="s">
        <v>23</v>
      </c>
      <c r="B16" s="19">
        <v>7923</v>
      </c>
      <c r="C16" s="19">
        <v>7860</v>
      </c>
      <c r="D16" s="19">
        <v>-63</v>
      </c>
      <c r="E16" s="20">
        <v>0.81499999999999995</v>
      </c>
      <c r="F16" s="20">
        <v>0.81299999999999994</v>
      </c>
      <c r="G16" s="20">
        <v>-2E-3</v>
      </c>
      <c r="H16" s="21" t="s">
        <v>52</v>
      </c>
    </row>
    <row r="17" spans="1:8" x14ac:dyDescent="0.3">
      <c r="A17" s="18" t="s">
        <v>16</v>
      </c>
      <c r="B17" s="19">
        <v>3198</v>
      </c>
      <c r="C17" s="19">
        <v>3163</v>
      </c>
      <c r="D17" s="19">
        <v>-35</v>
      </c>
      <c r="E17" s="20">
        <v>0.628</v>
      </c>
      <c r="F17" s="20">
        <v>0.629</v>
      </c>
      <c r="G17" s="20">
        <v>1E-3</v>
      </c>
      <c r="H17" s="21" t="s">
        <v>53</v>
      </c>
    </row>
    <row r="18" spans="1:8" x14ac:dyDescent="0.3">
      <c r="A18" s="18" t="s">
        <v>14</v>
      </c>
      <c r="B18" s="19">
        <v>1078</v>
      </c>
      <c r="C18" s="19">
        <v>1055</v>
      </c>
      <c r="D18" s="19">
        <v>-23</v>
      </c>
      <c r="E18" s="20">
        <v>0.60499999999999998</v>
      </c>
      <c r="F18" s="20">
        <v>0.60299999999999998</v>
      </c>
      <c r="G18" s="20">
        <v>-2E-3</v>
      </c>
      <c r="H18" s="21" t="s">
        <v>52</v>
      </c>
    </row>
    <row r="19" spans="1:8" x14ac:dyDescent="0.3">
      <c r="A19" s="18" t="s">
        <v>21</v>
      </c>
      <c r="B19" s="19">
        <v>6891</v>
      </c>
      <c r="C19" s="19">
        <v>6837</v>
      </c>
      <c r="D19" s="19">
        <v>-54</v>
      </c>
      <c r="E19" s="20">
        <v>0.74099999999999999</v>
      </c>
      <c r="F19" s="20">
        <v>0.74299999999999999</v>
      </c>
      <c r="G19" s="20">
        <v>2E-3</v>
      </c>
      <c r="H19" s="21" t="s">
        <v>53</v>
      </c>
    </row>
    <row r="20" spans="1:8" x14ac:dyDescent="0.3">
      <c r="A20" s="22" t="s">
        <v>42</v>
      </c>
      <c r="B20" s="23">
        <v>62157</v>
      </c>
      <c r="C20" s="23">
        <v>62862</v>
      </c>
      <c r="D20" s="23">
        <v>705</v>
      </c>
      <c r="E20" s="24">
        <v>0.69299999999999995</v>
      </c>
      <c r="F20" s="24">
        <v>0.68500000000000005</v>
      </c>
      <c r="G20" s="24">
        <v>-8.0000000000000002E-3</v>
      </c>
      <c r="H20" s="25" t="s">
        <v>52</v>
      </c>
    </row>
  </sheetData>
  <conditionalFormatting sqref="G5:G20">
    <cfRule type="cellIs" dxfId="11" priority="1" operator="greaterThan">
      <formula>0</formula>
    </cfRule>
    <cfRule type="cellIs" dxfId="10" priority="2" operator="lessThan">
      <formula>0</formula>
    </cfRule>
  </conditionalFormatting>
  <conditionalFormatting sqref="H5:H20">
    <cfRule type="cellIs" dxfId="9" priority="3" operator="equal">
      <formula>$H$6</formula>
    </cfRule>
    <cfRule type="cellIs" dxfId="8" priority="4" operator="equal">
      <formula>$H$12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7819-1EF5-41B0-8952-F94955233BB6}">
  <dimension ref="A1:A51"/>
  <sheetViews>
    <sheetView tabSelected="1" topLeftCell="A47" zoomScale="80" zoomScaleNormal="80" workbookViewId="0">
      <selection activeCell="A56" sqref="A56"/>
    </sheetView>
  </sheetViews>
  <sheetFormatPr defaultRowHeight="14.4" x14ac:dyDescent="0.3"/>
  <cols>
    <col min="1" max="1" width="231.6640625" customWidth="1"/>
  </cols>
  <sheetData>
    <row r="1" spans="1:1" ht="18" x14ac:dyDescent="0.35">
      <c r="A1" s="31" t="s">
        <v>60</v>
      </c>
    </row>
    <row r="2" spans="1:1" ht="15.6" x14ac:dyDescent="0.3">
      <c r="A2" s="32" t="s">
        <v>61</v>
      </c>
    </row>
    <row r="3" spans="1:1" x14ac:dyDescent="0.3">
      <c r="A3" s="33" t="s">
        <v>62</v>
      </c>
    </row>
    <row r="5" spans="1:1" x14ac:dyDescent="0.3">
      <c r="A5" s="34" t="s">
        <v>63</v>
      </c>
    </row>
    <row r="6" spans="1:1" x14ac:dyDescent="0.3">
      <c r="A6" t="s">
        <v>64</v>
      </c>
    </row>
    <row r="7" spans="1:1" x14ac:dyDescent="0.3">
      <c r="A7" t="s">
        <v>65</v>
      </c>
    </row>
    <row r="8" spans="1:1" x14ac:dyDescent="0.3">
      <c r="A8" t="s">
        <v>66</v>
      </c>
    </row>
    <row r="10" spans="1:1" x14ac:dyDescent="0.3">
      <c r="A10" s="34" t="s">
        <v>67</v>
      </c>
    </row>
    <row r="12" spans="1:1" x14ac:dyDescent="0.3">
      <c r="A12" s="1" t="s">
        <v>68</v>
      </c>
    </row>
    <row r="13" spans="1:1" x14ac:dyDescent="0.3">
      <c r="A13" t="s">
        <v>69</v>
      </c>
    </row>
    <row r="14" spans="1:1" x14ac:dyDescent="0.3">
      <c r="A14" t="s">
        <v>70</v>
      </c>
    </row>
    <row r="15" spans="1:1" x14ac:dyDescent="0.3">
      <c r="A15" t="s">
        <v>71</v>
      </c>
    </row>
    <row r="16" spans="1:1" x14ac:dyDescent="0.3">
      <c r="A16" t="s">
        <v>72</v>
      </c>
    </row>
    <row r="17" spans="1:1" x14ac:dyDescent="0.3">
      <c r="A17" t="s">
        <v>73</v>
      </c>
    </row>
    <row r="19" spans="1:1" x14ac:dyDescent="0.3">
      <c r="A19" s="1" t="s">
        <v>74</v>
      </c>
    </row>
    <row r="20" spans="1:1" x14ac:dyDescent="0.3">
      <c r="A20" t="s">
        <v>75</v>
      </c>
    </row>
    <row r="21" spans="1:1" x14ac:dyDescent="0.3">
      <c r="A21" t="s">
        <v>76</v>
      </c>
    </row>
    <row r="22" spans="1:1" x14ac:dyDescent="0.3">
      <c r="A22" t="s">
        <v>77</v>
      </c>
    </row>
    <row r="23" spans="1:1" x14ac:dyDescent="0.3">
      <c r="A23" t="s">
        <v>78</v>
      </c>
    </row>
    <row r="25" spans="1:1" x14ac:dyDescent="0.3">
      <c r="A25" s="1" t="s">
        <v>79</v>
      </c>
    </row>
    <row r="26" spans="1:1" x14ac:dyDescent="0.3">
      <c r="A26" t="s">
        <v>80</v>
      </c>
    </row>
    <row r="27" spans="1:1" x14ac:dyDescent="0.3">
      <c r="A27" t="s">
        <v>81</v>
      </c>
    </row>
    <row r="28" spans="1:1" x14ac:dyDescent="0.3">
      <c r="A28" s="30" t="s">
        <v>101</v>
      </c>
    </row>
    <row r="30" spans="1:1" x14ac:dyDescent="0.3">
      <c r="A30" s="1" t="s">
        <v>82</v>
      </c>
    </row>
    <row r="31" spans="1:1" x14ac:dyDescent="0.3">
      <c r="A31" t="s">
        <v>83</v>
      </c>
    </row>
    <row r="32" spans="1:1" x14ac:dyDescent="0.3">
      <c r="A32" t="s">
        <v>84</v>
      </c>
    </row>
    <row r="33" spans="1:1" x14ac:dyDescent="0.3">
      <c r="A33" t="s">
        <v>85</v>
      </c>
    </row>
    <row r="35" spans="1:1" x14ac:dyDescent="0.3">
      <c r="A35" s="1" t="s">
        <v>86</v>
      </c>
    </row>
    <row r="36" spans="1:1" x14ac:dyDescent="0.3">
      <c r="A36" t="s">
        <v>87</v>
      </c>
    </row>
    <row r="37" spans="1:1" x14ac:dyDescent="0.3">
      <c r="A37" t="s">
        <v>88</v>
      </c>
    </row>
    <row r="38" spans="1:1" x14ac:dyDescent="0.3">
      <c r="A38" t="s">
        <v>89</v>
      </c>
    </row>
    <row r="40" spans="1:1" x14ac:dyDescent="0.3">
      <c r="A40" s="34" t="s">
        <v>90</v>
      </c>
    </row>
    <row r="41" spans="1:1" x14ac:dyDescent="0.3">
      <c r="A41" t="s">
        <v>91</v>
      </c>
    </row>
    <row r="42" spans="1:1" x14ac:dyDescent="0.3">
      <c r="A42" t="s">
        <v>92</v>
      </c>
    </row>
    <row r="43" spans="1:1" x14ac:dyDescent="0.3">
      <c r="A43" t="s">
        <v>93</v>
      </c>
    </row>
    <row r="44" spans="1:1" x14ac:dyDescent="0.3">
      <c r="A44" t="s">
        <v>94</v>
      </c>
    </row>
    <row r="45" spans="1:1" x14ac:dyDescent="0.3">
      <c r="A45" t="s">
        <v>95</v>
      </c>
    </row>
    <row r="47" spans="1:1" x14ac:dyDescent="0.3">
      <c r="A47" s="34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6C9263-86BD-4BED-B6CE-F588F90B3C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RAG Scorecard</vt:lpstr>
      <vt:lpstr>Trend Analysis</vt:lpstr>
      <vt:lpstr>Month on Month</vt:lpstr>
      <vt:lpstr>Executive Summary</vt:lpstr>
      <vt:lpstr>'RAG Scorecard'!Print_Area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parmesh kumar</dc:creator>
  <cp:lastModifiedBy>parmesh kumar</cp:lastModifiedBy>
  <cp:lastPrinted>2026-04-23T04:49:50Z</cp:lastPrinted>
  <dcterms:created xsi:type="dcterms:W3CDTF">2026-04-23T00:30:04Z</dcterms:created>
  <dcterms:modified xsi:type="dcterms:W3CDTF">2026-04-23T04:50:03Z</dcterms:modified>
</cp:coreProperties>
</file>